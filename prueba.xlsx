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Hoja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9"/>
  <sheetViews>
    <sheetView workbookViewId="0"/>
  </sheetViews>
  <sheetData>
    <row r="1">
      <c r="A1" t="str">
        <v>Nº serie</v>
      </c>
      <c r="B1" t="str">
        <v>Fecha de expedición</v>
      </c>
      <c r="C1" t="str">
        <v>Nombre</v>
      </c>
      <c r="D1" t="str">
        <v>Unidades</v>
      </c>
      <c r="E1" t="str">
        <v>Concepto</v>
      </c>
      <c r="F1" t="str">
        <v>Base Imponible</v>
      </c>
      <c r="G1" t="str">
        <v>Cuota (IVA)</v>
      </c>
      <c r="H1" t="str">
        <v>Retenido IRPF</v>
      </c>
      <c r="I1" t="str">
        <v>Forma de pago</v>
      </c>
    </row>
    <row r="2">
      <c r="A2" t="str">
        <v>A1</v>
      </c>
      <c r="B2" t="str">
        <v>2024-02-04</v>
      </c>
      <c r="C2" t="str">
        <v>Carlos</v>
      </c>
      <c r="D2" t="str">
        <v>[{"cantidad":"10","tipo":"remolacha","precioUnidad":"5","iva":"21","descuento":"0"}]</v>
      </c>
      <c r="E2" t="str">
        <v>compras</v>
      </c>
      <c r="F2">
        <v>50</v>
      </c>
      <c r="G2" t="str">
        <v>21%</v>
      </c>
      <c r="H2">
        <v>10.5</v>
      </c>
      <c r="I2">
        <v>0</v>
      </c>
    </row>
    <row r="3">
      <c r="A3" t="str">
        <v>A2</v>
      </c>
      <c r="B3" t="str">
        <v>2024-02-05</v>
      </c>
      <c r="C3" t="str">
        <v>Carlos</v>
      </c>
      <c r="D3" t="str">
        <v>[{"cantidad":"10","tipo":"remolacha","precioUnidad":"5","iva":"21","descuento":"0"}]</v>
      </c>
      <c r="E3" t="str">
        <v>compras</v>
      </c>
      <c r="F3">
        <v>50</v>
      </c>
      <c r="G3" t="str">
        <v>21%</v>
      </c>
      <c r="H3">
        <v>10.5</v>
      </c>
      <c r="I3">
        <v>0</v>
      </c>
    </row>
    <row r="4">
      <c r="A4" t="str">
        <v>A3</v>
      </c>
      <c r="B4" t="str">
        <v>2024-02-05</v>
      </c>
      <c r="C4" t="str">
        <v>Carlos</v>
      </c>
      <c r="D4" t="str">
        <v>[{"cantidad":"5","tipo":"remolachas","precioUnidad":"10","iva":"21","descuento":"0"}]</v>
      </c>
      <c r="E4" t="str">
        <v>compras</v>
      </c>
      <c r="F4">
        <v>50</v>
      </c>
      <c r="G4" t="str">
        <v>21%</v>
      </c>
      <c r="H4">
        <v>10.5</v>
      </c>
      <c r="I4">
        <v>0</v>
      </c>
    </row>
    <row r="5">
      <c r="A5" t="str">
        <v>A4</v>
      </c>
      <c r="B5" t="str">
        <v>2024-02-05</v>
      </c>
      <c r="C5" t="str">
        <v>Carlos</v>
      </c>
      <c r="D5" t="str">
        <v>[{"cantidad":"10","tipo":"beacon","precioUnidad":"10","iva":"21","descuento":"5"}]</v>
      </c>
      <c r="E5" t="str">
        <v>compras</v>
      </c>
      <c r="F5">
        <v>95</v>
      </c>
      <c r="G5" t="str">
        <v>21%</v>
      </c>
      <c r="H5">
        <v>19.95</v>
      </c>
      <c r="I5">
        <v>0</v>
      </c>
    </row>
    <row r="6">
      <c r="A6" t="str">
        <v>A5</v>
      </c>
      <c r="B6" t="str">
        <v>2024-02-05</v>
      </c>
      <c r="C6" t="str">
        <v>Carlos</v>
      </c>
      <c r="D6" t="str">
        <v>[{"cantidad":"10","tipo":"beacon","precioUnidad":"10","iva":"21","descuento":"5"}]</v>
      </c>
      <c r="E6" t="str">
        <v>compras</v>
      </c>
      <c r="F6">
        <v>95</v>
      </c>
      <c r="G6" t="str">
        <v>21%</v>
      </c>
      <c r="H6">
        <v>19.95</v>
      </c>
      <c r="I6">
        <v>0</v>
      </c>
    </row>
    <row r="7">
      <c r="A7" t="str">
        <v>A6</v>
      </c>
      <c r="B7" t="str">
        <v>2024-02-05</v>
      </c>
      <c r="C7" t="str">
        <v>Carlos</v>
      </c>
      <c r="D7" t="str">
        <v>[{"cantidad":"5","tipo":"beacon","precioUnidad":"10","iva":"21","descuento":"5"}]</v>
      </c>
      <c r="E7" t="str">
        <v>compras</v>
      </c>
      <c r="F7">
        <v>47.5</v>
      </c>
      <c r="G7" t="str">
        <v>21%</v>
      </c>
      <c r="H7">
        <v>9.975</v>
      </c>
      <c r="I7">
        <v>0</v>
      </c>
    </row>
    <row r="8">
      <c r="A8" t="str">
        <v>A7</v>
      </c>
      <c r="B8" t="str">
        <v>2024-02-05</v>
      </c>
      <c r="C8" t="str">
        <v>Carlos</v>
      </c>
      <c r="D8" t="str">
        <v>[{"cantidad":"10","tipo":"beacon","precioUnidad":"10","iva":"21","descuento":"7"}]</v>
      </c>
      <c r="E8" t="str">
        <v>compras</v>
      </c>
      <c r="F8">
        <v>93</v>
      </c>
      <c r="G8" t="str">
        <v>21%</v>
      </c>
      <c r="H8">
        <v>19.529999999999998</v>
      </c>
      <c r="I8">
        <v>0</v>
      </c>
    </row>
    <row r="9">
      <c r="A9" t="str">
        <v>A8</v>
      </c>
      <c r="B9" t="str">
        <v>2024-02-05</v>
      </c>
      <c r="C9" t="str">
        <v>Carlos</v>
      </c>
      <c r="D9" t="str">
        <v>[{"cantidad":"3","tipo":"remolacha","precioUnidad":"1","iva":"21","descuento":"7"},{"cantidad":"2","tipo":"pan","precioUnidad":"2.5","iva":"7","descuento":"0"}]</v>
      </c>
      <c r="E9" t="str">
        <v>compras</v>
      </c>
      <c r="F9">
        <v>7.79</v>
      </c>
      <c r="G9" t="str">
        <f>7%</f>
        <v>21%</v>
      </c>
      <c r="H9">
        <v>0.9359</v>
      </c>
      <c r="I9">
        <v>0</v>
      </c>
    </row>
    <row r="10">
      <c r="A10" t="str">
        <v>A9</v>
      </c>
      <c r="B10" t="str">
        <v>2024-02-05</v>
      </c>
      <c r="C10" t="str">
        <v>Carlos</v>
      </c>
      <c r="D10" t="str">
        <v>[{"cantidad":"5","tipo":"remolacha","precioUnidad":"1","iva":"21","descuento":"0"},{"cantidad":"3","tipo":"bacon","precioUnidad":"2.25","iva":"14","descuento":"5"}]</v>
      </c>
      <c r="E10" t="str">
        <v>compras</v>
      </c>
      <c r="F10">
        <v>11.4125</v>
      </c>
      <c r="G10" t="str">
        <f>14%</f>
        <v>21%</v>
      </c>
      <c r="H10">
        <v>1.94775</v>
      </c>
      <c r="I10">
        <v>0</v>
      </c>
    </row>
    <row r="11">
      <c r="A11" t="str">
        <v>A10</v>
      </c>
      <c r="B11" t="str">
        <v>2024-02-05</v>
      </c>
      <c r="C11" t="str">
        <v>Carlos</v>
      </c>
      <c r="D11" t="str">
        <v>[{"cantidad":"5","tipo":"remolacha","precioUnidad":"10","iva":"0","descuento":"0"}]</v>
      </c>
      <c r="E11" t="str">
        <v>0</v>
      </c>
      <c r="F11">
        <v>50</v>
      </c>
      <c r="G11" t="str">
        <v>0%</v>
      </c>
      <c r="H11">
        <v>0</v>
      </c>
      <c r="I11">
        <v>0</v>
      </c>
    </row>
    <row r="12">
      <c r="A12" t="str">
        <v>A11</v>
      </c>
      <c r="B12" t="str">
        <v>2024-02-05</v>
      </c>
      <c r="C12" t="str">
        <v>Carlos</v>
      </c>
      <c r="D12" t="str">
        <v>[{"cantidad":"5","tipo":"remolacha","precioUnidad":"10","iva":"21","descuento":"3"},{"cantidad":"3","tipo":"pan","precioUnidad":"1","iva":"7","descuento":"3"}]</v>
      </c>
      <c r="E12" t="str">
        <v>compras</v>
      </c>
      <c r="F12">
        <v>51.41</v>
      </c>
      <c r="G12" t="str">
        <f>7%</f>
        <v>21%</v>
      </c>
      <c r="H12">
        <v>10.3887</v>
      </c>
      <c r="I12">
        <v>0</v>
      </c>
    </row>
    <row r="13">
      <c r="A13" t="str">
        <v>A12</v>
      </c>
      <c r="B13" t="str">
        <v>2024-02-05</v>
      </c>
      <c r="C13" t="str">
        <v>Carlos</v>
      </c>
      <c r="D13" t="str">
        <v>[{"cantidad":"5","tipo":"remolacha","precioUnidad":"1.25","iva":"7","descuento":"5"},{"cantidad":"2","tipo":"pan","precioUnidad":"0.25","iva":"21","descuento":"5"}]</v>
      </c>
      <c r="E13" t="str">
        <v>compras</v>
      </c>
      <c r="F13">
        <v>6.4125</v>
      </c>
      <c r="G13" t="str">
        <f>21%</f>
        <v>7%</v>
      </c>
      <c r="H13">
        <v>0.515375</v>
      </c>
      <c r="I13">
        <v>0</v>
      </c>
    </row>
    <row r="14">
      <c r="A14" t="str">
        <v>A13</v>
      </c>
      <c r="B14" t="str">
        <v>2024-02-05</v>
      </c>
      <c r="C14" t="str">
        <v>Carlos</v>
      </c>
      <c r="D14" t="str">
        <v>[{"cantidad":"1","tipo":"get limpiador","precioUnidad":"11.59","iva":"21","descuento":"0"},{"cantidad":"1","tipo":"tonico facial","precioUnidad":"11.59","iva":"21","descuento":"0"},{"cantidad":"1","tipo":"crema antiedad","precioUnidad":"17.67","iva":"21","descuento":"0"},{"cantidad":"1","tipo":"crema ultra-nutritiva","precioUnidad":"30.39","iva":"21","descuento":"0"},{"cantidad":"1","tipo":"desmaquillante bifasico","precioUnidad":"11.59","iva":"21","descuento":"0"}]</v>
      </c>
      <c r="E14" t="str">
        <v>estetica</v>
      </c>
      <c r="F14">
        <v>82.83000000000001</v>
      </c>
      <c r="G14" t="str">
        <v>21%</v>
      </c>
      <c r="H14">
        <v>17.3943</v>
      </c>
      <c r="I14">
        <v>0</v>
      </c>
    </row>
    <row r="15">
      <c r="A15" t="str">
        <v>A14</v>
      </c>
      <c r="B15" t="str">
        <v>2024-02-08</v>
      </c>
      <c r="C15" t="str">
        <v>Carlos</v>
      </c>
      <c r="D15" t="str">
        <v>[{"cantidad":"4","tipo":"maria","precioUnidad":"5","iva":"0","descuento":"0"},{"cantidad":"1","tipo":"grinder","precioUnidad":"14","iva":"14","descuento":"0"}]</v>
      </c>
      <c r="E15" t="str">
        <v>maria</v>
      </c>
      <c r="F15">
        <v>34</v>
      </c>
      <c r="G15" t="str">
        <f>14%</f>
        <v>0%</v>
      </c>
      <c r="H15">
        <v>1.9600000000000002</v>
      </c>
      <c r="I15">
        <v>0</v>
      </c>
    </row>
    <row r="16">
      <c r="A16" t="str">
        <v>A15</v>
      </c>
      <c r="B16" t="str">
        <v>2024-02-08</v>
      </c>
      <c r="C16" t="str">
        <v>Carlos</v>
      </c>
      <c r="D16" t="str">
        <v>[{"cantidad":"4","tipo":"maria","precioUnidad":"5","iva":"0","descuento":"0"},{"cantidad":"1","tipo":"grinder","precioUnidad":"14","iva":"14","descuento":"0"}]</v>
      </c>
      <c r="E16" t="str">
        <v>maria</v>
      </c>
      <c r="F16">
        <v>34</v>
      </c>
      <c r="G16" t="str">
        <f>14%</f>
        <v>0%</v>
      </c>
      <c r="H16">
        <v>1.9600000000000002</v>
      </c>
      <c r="I16">
        <v>0</v>
      </c>
    </row>
    <row r="17">
      <c r="A17" t="str">
        <v>A16</v>
      </c>
      <c r="B17" t="str">
        <v>2024-02-08</v>
      </c>
      <c r="C17" t="str">
        <v>Carlos</v>
      </c>
      <c r="D17" t="str">
        <v>[{"cantidad":"5","tipo":"asdf","precioUnidad":"10","iva":"21","descuento":"1"}]</v>
      </c>
      <c r="E17" t="str">
        <v>asdf</v>
      </c>
      <c r="F17">
        <v>49.5</v>
      </c>
      <c r="G17" t="str">
        <v>21%</v>
      </c>
      <c r="H17">
        <v>10.395</v>
      </c>
      <c r="I17">
        <v>49.5</v>
      </c>
    </row>
    <row r="18">
      <c r="A18" t="str">
        <v>F1</v>
      </c>
      <c r="B18" t="str">
        <v>2024-02-08</v>
      </c>
      <c r="C18" t="str">
        <v>Carlos</v>
      </c>
      <c r="D18" t="str">
        <v>[{"cantidad":"4","tipo":"asdf","precioUnidad":"3","iva":"2","descuento":"1"}]</v>
      </c>
      <c r="E18" t="str">
        <v>asdf</v>
      </c>
      <c r="F18">
        <v>11.88</v>
      </c>
      <c r="G18" t="str">
        <v>2%</v>
      </c>
      <c r="H18">
        <v>0.23760000000000003</v>
      </c>
      <c r="I18">
        <v>11.88</v>
      </c>
    </row>
    <row r="19">
      <c r="A19" t="str">
        <v>A17</v>
      </c>
      <c r="B19" t="str">
        <v>2024-02-11</v>
      </c>
      <c r="C19" t="str">
        <v>Carlos</v>
      </c>
      <c r="D19" t="str">
        <v>[{"cantidad":"10","tipo":"casa","precioUnidad":"5","iva":"21","descuento":"0"}]</v>
      </c>
      <c r="E19" t="str">
        <v>compras</v>
      </c>
      <c r="F19">
        <v>50</v>
      </c>
      <c r="G19" t="str">
        <v>21%</v>
      </c>
      <c r="H19">
        <v>10.5</v>
      </c>
      <c r="I19">
        <v>745</v>
      </c>
    </row>
  </sheetData>
  <ignoredErrors>
    <ignoredError numberStoredAsText="1" sqref="A1:I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